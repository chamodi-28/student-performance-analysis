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aafd3f11c00efe/Desktop/My BI Projects/"/>
    </mc:Choice>
  </mc:AlternateContent>
  <xr:revisionPtr revIDLastSave="25" documentId="8_{CACEC435-D793-409F-AA05-FD9BD0F68192}" xr6:coauthVersionLast="47" xr6:coauthVersionMax="47" xr10:uidLastSave="{8683FBFB-4D39-4EDC-9DA7-545C08BF2DF8}"/>
  <bookViews>
    <workbookView xWindow="-108" yWindow="-108" windowWidth="23256" windowHeight="12576" xr2:uid="{A5039085-5B0E-4C8F-8594-EB8831D0DA38}"/>
  </bookViews>
  <sheets>
    <sheet name="Dashboard" sheetId="6" r:id="rId1"/>
    <sheet name="Pivot Table" sheetId="9" r:id="rId2"/>
    <sheet name="Student_Data" sheetId="1" r:id="rId3"/>
    <sheet name="Analysis" sheetId="2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G5" i="6"/>
  <c r="B11" i="2"/>
  <c r="E5" i="6"/>
  <c r="C5" i="6"/>
  <c r="F10" i="2"/>
  <c r="F9" i="2"/>
  <c r="B8" i="2"/>
  <c r="B7" i="2"/>
  <c r="B3" i="2"/>
  <c r="B10" i="2"/>
  <c r="B9" i="2"/>
  <c r="B6" i="2"/>
  <c r="B2" i="2"/>
  <c r="B4" i="2"/>
  <c r="B5" i="2" l="1"/>
</calcChain>
</file>

<file path=xl/sharedStrings.xml><?xml version="1.0" encoding="utf-8"?>
<sst xmlns="http://schemas.openxmlformats.org/spreadsheetml/2006/main" count="218" uniqueCount="70">
  <si>
    <t>Student_ID</t>
  </si>
  <si>
    <t>Gender</t>
  </si>
  <si>
    <t>Age</t>
  </si>
  <si>
    <t>Programme</t>
  </si>
  <si>
    <t>Year</t>
  </si>
  <si>
    <t>Assignment_mark</t>
  </si>
  <si>
    <t>Exam_Mark</t>
  </si>
  <si>
    <t>Final_Mark</t>
  </si>
  <si>
    <t>Result</t>
  </si>
  <si>
    <t>Performance_Level</t>
  </si>
  <si>
    <t>S001</t>
  </si>
  <si>
    <t>Female</t>
  </si>
  <si>
    <t>ICT</t>
  </si>
  <si>
    <t>2nd Year</t>
  </si>
  <si>
    <t>Pass</t>
  </si>
  <si>
    <t>Good</t>
  </si>
  <si>
    <t>S002</t>
  </si>
  <si>
    <t>Male</t>
  </si>
  <si>
    <t>S003</t>
  </si>
  <si>
    <t>Excellent</t>
  </si>
  <si>
    <t>S004</t>
  </si>
  <si>
    <t>Credit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</si>
  <si>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</si>
  <si>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</si>
  <si>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</si>
  <si>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</si>
  <si>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</si>
  <si>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</si>
  <si>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</si>
  <si>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</si>
  <si>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</si>
  <si>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</si>
  <si>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</si>
  <si>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</si>
  <si>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</si>
  <si>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</si>
  <si>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</si>
  <si>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</si>
  <si>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</si>
  <si>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</si>
  <si>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</si>
  <si>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</si>
  <si>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</si>
  <si>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</si>
  <si>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</si>
  <si>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</si>
  <si>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</si>
  <si>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</si>
  <si>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Attendance (%)</t>
  </si>
  <si>
    <t>Average</t>
  </si>
  <si>
    <t>Highest mark</t>
  </si>
  <si>
    <t>No of students who passed</t>
  </si>
  <si>
    <t>Pass percentage</t>
  </si>
  <si>
    <t>Average female mark</t>
  </si>
  <si>
    <t>Average male mark</t>
  </si>
  <si>
    <t xml:space="preserve"> </t>
  </si>
  <si>
    <t>No of students</t>
  </si>
  <si>
    <t>Lowest mark</t>
  </si>
  <si>
    <t>Analysis</t>
  </si>
  <si>
    <t>Fail</t>
  </si>
  <si>
    <t>Bad</t>
  </si>
  <si>
    <t>Fail Presentage</t>
  </si>
  <si>
    <t>Row Labels</t>
  </si>
  <si>
    <t>Grand Total</t>
  </si>
  <si>
    <t>Average of Final_Mark</t>
  </si>
  <si>
    <t>STUDENT PERFORMANCE ANALYSIS DASHBOARD</t>
  </si>
  <si>
    <t>Total Students</t>
  </si>
  <si>
    <t>Average Final Mark</t>
  </si>
  <si>
    <t>Pass Percentage</t>
  </si>
  <si>
    <t>Average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</si>
</sst>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164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1" xfId="0" applyNumberFormat="1" applyBorder="1"/>
    <xf numFmtId="0" fontId="0" fillId="0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9" fontId="4" fillId="3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students Pass VS Fail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Analysis!$F$8</c:f>
              <c:strCache>
                <c:ptCount val="1"/>
                <c:pt idx="0">
                  <c:v>No of students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3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10-44C4-85F0-45CD1EA56D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10-44C4-85F0-45CD1EA56D50}"/>
              </c:ext>
            </c:extLst>
          </c:dPt>
          <c:cat>
            <c:strRef>
              <c:f>Analysis!$E$9:$E$10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Analysis!$F$9:$F$10</c:f>
              <c:numCache>
                <c:formatCode>General</c:formatCode>
                <c:ptCount val="2"/>
                <c:pt idx="0">
                  <c:v>28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10-44C4-85F0-45CD1EA56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Performance Data Analysis - Project 01.xlsx]Pivot Table!PivotTable1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Final Mark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80.13333333333334</c:v>
                </c:pt>
                <c:pt idx="1">
                  <c:v>66.8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1-4248-B3E6-0CF6865F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938496"/>
        <c:axId val="521940416"/>
      </c:barChart>
      <c:catAx>
        <c:axId val="52193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40416"/>
        <c:crosses val="autoZero"/>
        <c:auto val="1"/>
        <c:lblAlgn val="ctr"/>
        <c:lblOffset val="100"/>
        <c:noMultiLvlLbl val="0"/>
      </c:catAx>
      <c:valAx>
        <c:axId val="52194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93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288634</xdr:colOff>
      <xdr:row>10</xdr:row>
      <xdr:rowOff>178853</xdr:rowOff>
    </xdr:from>
    <xdr:ext cx="184731" cy="937693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6CC9C42-E9E6-EEDD-1A9D-5C307B4C5024}"/>
            </a:ext>
          </a:extLst>
        </xdr:cNvPr>
        <xdr:cNvSpPr/>
      </xdr:nvSpPr>
      <xdr:spPr>
        <a:xfrm>
          <a:off x="6994234" y="2121953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0</xdr:col>
      <xdr:colOff>0</xdr:colOff>
      <xdr:row>7</xdr:row>
      <xdr:rowOff>0</xdr:rowOff>
    </xdr:from>
    <xdr:to>
      <xdr:col>3</xdr:col>
      <xdr:colOff>106680</xdr:colOff>
      <xdr:row>18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3F8AF8-D16C-4AB7-87B0-B39AE531D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7</xdr:row>
      <xdr:rowOff>0</xdr:rowOff>
    </xdr:from>
    <xdr:to>
      <xdr:col>7</xdr:col>
      <xdr:colOff>563880</xdr:colOff>
      <xdr:row>18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840AFB-DDEB-4068-BB6F-1CFD2E489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5.736926273152" createdVersion="8" refreshedVersion="8" minRefreshableVersion="3" recordCount="30" xr:uid="{27395667-6A98-429E-816F-993B08B50F51}">
  <cacheSource type="worksheet">
    <worksheetSource ref="A1:K31" sheet="Student_Data"/>
  </cacheSource>
  <cacheFields count="11">
    <cacheField name="Student_ID" numFmtId="0">
      <sharedItems/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23"/>
    </cacheField>
    <cacheField name="Programme" numFmtId="0">
      <sharedItems/>
    </cacheField>
    <cacheField name="Year" numFmtId="0">
      <sharedItems/>
    </cacheField>
    <cacheField name="Attendance (%)" numFmtId="0">
      <sharedItems containsSemiMixedTypes="0" containsString="0" containsNumber="1" containsInteger="1" minValue="55" maxValue="97"/>
    </cacheField>
    <cacheField name="Assignment_mark" numFmtId="0">
      <sharedItems containsSemiMixedTypes="0" containsString="0" containsNumber="1" containsInteger="1" minValue="11" maxValue="94"/>
    </cacheField>
    <cacheField name="Exam_Mark" numFmtId="0">
      <sharedItems containsSemiMixedTypes="0" containsString="0" containsNumber="1" containsInteger="1" minValue="15" maxValue="94"/>
    </cacheField>
    <cacheField name="Final_Mark" numFmtId="0">
      <sharedItems containsSemiMixedTypes="0" containsString="0" containsNumber="1" containsInteger="1" minValue="15" maxValue="95"/>
    </cacheField>
    <cacheField name="Result" numFmtId="0">
      <sharedItems/>
    </cacheField>
    <cacheField name="Performance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S001"/>
    <x v="0"/>
    <n v="23"/>
    <s v="ICT"/>
    <s v="2nd Year"/>
    <n v="92"/>
    <n v="85"/>
    <n v="78"/>
    <n v="80"/>
    <s v="Pass"/>
    <s v="Good"/>
  </r>
  <r>
    <s v="S002"/>
    <x v="1"/>
    <n v="21"/>
    <s v="ICT"/>
    <s v="2nd Year"/>
    <n v="75"/>
    <n v="68"/>
    <n v="65"/>
    <n v="62"/>
    <s v="Pass"/>
    <s v="Pass"/>
  </r>
  <r>
    <s v="S003"/>
    <x v="0"/>
    <n v="22"/>
    <s v="ICT"/>
    <s v="2nd Year"/>
    <n v="88"/>
    <n v="90"/>
    <n v="84"/>
    <n v="86"/>
    <s v="Pass"/>
    <s v="Excellent"/>
  </r>
  <r>
    <s v="S004"/>
    <x v="1"/>
    <n v="22"/>
    <s v="ICT"/>
    <s v="2nd Year"/>
    <n v="65"/>
    <n v="72"/>
    <n v="70"/>
    <n v="68"/>
    <s v="Pass"/>
    <s v="Credit"/>
  </r>
  <r>
    <s v="S005"/>
    <x v="0"/>
    <n v="21"/>
    <s v="ICT"/>
    <s v="2nd Year"/>
    <n v="95"/>
    <n v="14"/>
    <n v="15"/>
    <n v="15"/>
    <s v="Fail"/>
    <s v="Bad"/>
  </r>
  <r>
    <s v="S006"/>
    <x v="1"/>
    <n v="23"/>
    <s v="ICT"/>
    <s v="2nd Year"/>
    <n v="80"/>
    <n v="76"/>
    <n v="73"/>
    <n v="75"/>
    <s v="Pass"/>
    <s v="Good"/>
  </r>
  <r>
    <s v="S007"/>
    <x v="0"/>
    <n v="22"/>
    <s v="ICT"/>
    <s v="2nd Year"/>
    <n v="70"/>
    <n v="65"/>
    <n v="69"/>
    <n v="67"/>
    <s v="Pass"/>
    <s v="Credit"/>
  </r>
  <r>
    <s v="S008"/>
    <x v="1"/>
    <n v="21"/>
    <s v="ICT"/>
    <s v="2nd Year"/>
    <n v="85"/>
    <n v="82"/>
    <n v="80"/>
    <n v="81"/>
    <s v="Pass"/>
    <s v="Good"/>
  </r>
  <r>
    <s v="S009"/>
    <x v="0"/>
    <n v="23"/>
    <s v="ICT"/>
    <s v="2nd Year"/>
    <n v="91"/>
    <n v="94"/>
    <n v="89"/>
    <n v="91"/>
    <s v="Pass"/>
    <s v="Excellent"/>
  </r>
  <r>
    <s v="S010"/>
    <x v="1"/>
    <n v="23"/>
    <s v="ICT"/>
    <s v="2nd Year"/>
    <n v="60"/>
    <n v="58"/>
    <n v="62"/>
    <n v="59"/>
    <s v="Pass"/>
    <s v="Pass"/>
  </r>
  <r>
    <s v="S011"/>
    <x v="0"/>
    <n v="21"/>
    <s v="ICT"/>
    <s v="2nd Year"/>
    <n v="78"/>
    <n v="80"/>
    <n v="76"/>
    <n v="79"/>
    <s v="Pass"/>
    <s v="Good"/>
  </r>
  <r>
    <s v="S012"/>
    <x v="1"/>
    <n v="22"/>
    <s v="ICT"/>
    <s v="2nd Year"/>
    <n v="72"/>
    <n v="70"/>
    <n v="68"/>
    <n v="70"/>
    <s v="Pass"/>
    <s v="Credit"/>
  </r>
  <r>
    <s v="S013"/>
    <x v="0"/>
    <n v="21"/>
    <s v="ICT"/>
    <s v="2nd Year"/>
    <n v="89"/>
    <n v="86"/>
    <n v="90"/>
    <n v="88"/>
    <s v="Pass"/>
    <s v="Excellent"/>
  </r>
  <r>
    <s v="S014"/>
    <x v="1"/>
    <n v="21"/>
    <s v="ICT"/>
    <s v="2nd Year"/>
    <n v="83"/>
    <n v="11"/>
    <n v="22"/>
    <n v="18"/>
    <s v="Fail"/>
    <s v="Bad"/>
  </r>
  <r>
    <s v="S015"/>
    <x v="0"/>
    <n v="22"/>
    <s v="ICT"/>
    <s v="2nd Year"/>
    <n v="97"/>
    <n v="92"/>
    <n v="94"/>
    <n v="95"/>
    <s v="Pass"/>
    <s v="Excellent"/>
  </r>
  <r>
    <s v="S016"/>
    <x v="1"/>
    <n v="22"/>
    <s v="ICT"/>
    <s v="2nd Year"/>
    <n v="68"/>
    <n v="64"/>
    <n v="66"/>
    <n v="65"/>
    <s v="Pass"/>
    <s v="Credit"/>
  </r>
  <r>
    <s v="S017"/>
    <x v="0"/>
    <n v="21"/>
    <s v="ICT"/>
    <s v="2nd Year"/>
    <n v="84"/>
    <n v="87"/>
    <n v="82"/>
    <n v="85"/>
    <s v="Pass"/>
    <s v="Excellent"/>
  </r>
  <r>
    <s v="S018"/>
    <x v="1"/>
    <n v="22"/>
    <s v="ICT"/>
    <s v="2nd Year"/>
    <n v="76"/>
    <n v="74"/>
    <n v="71"/>
    <n v="73"/>
    <s v="Pass"/>
    <s v="Credit"/>
  </r>
  <r>
    <s v="S019"/>
    <x v="0"/>
    <n v="22"/>
    <s v="ICT"/>
    <s v="2nd Year"/>
    <n v="93"/>
    <n v="89"/>
    <n v="92"/>
    <n v="91"/>
    <s v="Pass"/>
    <s v="Excellent"/>
  </r>
  <r>
    <s v="S020"/>
    <x v="1"/>
    <n v="23"/>
    <s v="ICT"/>
    <s v="2nd Year"/>
    <n v="55"/>
    <n v="61"/>
    <n v="58"/>
    <n v="57"/>
    <s v="Pass"/>
    <s v="Pass"/>
  </r>
  <r>
    <s v="S021"/>
    <x v="0"/>
    <n v="21"/>
    <s v="ICT"/>
    <s v="2nd Year"/>
    <n v="81"/>
    <n v="83"/>
    <n v="79"/>
    <n v="81"/>
    <s v="Pass"/>
    <s v="Good"/>
  </r>
  <r>
    <s v="S022"/>
    <x v="1"/>
    <n v="23"/>
    <s v="ICT"/>
    <s v="2nd Year"/>
    <n v="87"/>
    <n v="80"/>
    <n v="85"/>
    <n v="84"/>
    <s v="Pass"/>
    <s v="Good"/>
  </r>
  <r>
    <s v="S023"/>
    <x v="0"/>
    <n v="22"/>
    <s v="ICT"/>
    <s v="2nd Year"/>
    <n v="74"/>
    <n v="77"/>
    <n v="72"/>
    <n v="75"/>
    <s v="Pass"/>
    <s v="Good"/>
  </r>
  <r>
    <s v="S024"/>
    <x v="1"/>
    <n v="21"/>
    <s v="ICT"/>
    <s v="2nd Year"/>
    <n v="69"/>
    <n v="71"/>
    <n v="67"/>
    <n v="69"/>
    <s v="Pass"/>
    <s v="Credit"/>
  </r>
  <r>
    <s v="S025"/>
    <x v="0"/>
    <n v="23"/>
    <s v="ICT"/>
    <s v="2nd Year"/>
    <n v="90"/>
    <n v="93"/>
    <n v="88"/>
    <n v="91"/>
    <s v="Pass"/>
    <s v="Excellent"/>
  </r>
  <r>
    <s v="S026"/>
    <x v="1"/>
    <n v="22"/>
    <s v="ICT"/>
    <s v="2nd Year"/>
    <n v="79"/>
    <n v="75"/>
    <n v="74"/>
    <n v="76"/>
    <s v="Pass"/>
    <s v="Good"/>
  </r>
  <r>
    <s v="S027"/>
    <x v="0"/>
    <n v="21"/>
    <s v="ICT"/>
    <s v="2nd Year"/>
    <n v="86"/>
    <n v="91"/>
    <n v="83"/>
    <n v="87"/>
    <s v="Pass"/>
    <s v="Excellent"/>
  </r>
  <r>
    <s v="S028"/>
    <x v="1"/>
    <n v="23"/>
    <s v="ICT"/>
    <s v="2nd Year"/>
    <n v="63"/>
    <n v="66"/>
    <n v="60"/>
    <n v="63"/>
    <s v="Pass"/>
    <s v="Pass"/>
  </r>
  <r>
    <s v="S029"/>
    <x v="0"/>
    <n v="22"/>
    <s v="ICT"/>
    <s v="2nd Year"/>
    <n v="94"/>
    <n v="88"/>
    <n v="90"/>
    <n v="91"/>
    <s v="Pass"/>
    <s v="Excellent"/>
  </r>
  <r>
    <s v="S030"/>
    <x v="1"/>
    <n v="21"/>
    <s v="ICT"/>
    <s v="2nd Year"/>
    <n v="82"/>
    <n v="84"/>
    <n v="78"/>
    <n v="82"/>
    <s v="Pass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46433-FD16-4B1A-953C-ED8D2E1D565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Final_Mark" fld="8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1B46-165E-4041-ADA9-F82AC62621B4}">
  <dimension ref="A1:H5"/>
  <sheetViews>
    <sheetView tabSelected="1" workbookViewId="0">
      <selection activeCell="H6" sqref="H6"/>
    </sheetView>
  </sheetViews>
  <sheetFormatPr defaultRowHeight="14.4" x14ac:dyDescent="0.3"/>
  <cols>
    <col min="1" max="1" width="16.21875" customWidth="1"/>
    <col min="2" max="2" width="8.88671875" customWidth="1"/>
    <col min="3" max="3" width="18" customWidth="1"/>
    <col min="5" max="5" width="17.77734375" customWidth="1"/>
    <col min="7" max="7" width="18" customWidth="1"/>
    <col min="8" max="8" width="9.88671875" customWidth="1"/>
  </cols>
  <sheetData>
    <row r="1" spans="1:8" ht="23.4" customHeight="1" x14ac:dyDescent="0.3">
      <c r="A1" s="21" t="s">
        <v>65</v>
      </c>
      <c r="B1" s="21"/>
      <c r="C1" s="21"/>
      <c r="D1" s="21"/>
      <c r="E1" s="21"/>
      <c r="F1" s="21"/>
      <c r="G1" s="21"/>
      <c r="H1" s="21"/>
    </row>
    <row r="2" spans="1:8" x14ac:dyDescent="0.3">
      <c r="A2" s="21"/>
      <c r="B2" s="21"/>
      <c r="C2" s="21"/>
      <c r="D2" s="21"/>
      <c r="E2" s="21"/>
      <c r="F2" s="21"/>
      <c r="G2" s="21"/>
      <c r="H2" s="21"/>
    </row>
    <row r="4" spans="1:8" x14ac:dyDescent="0.3">
      <c r="A4" s="17" t="s">
        <v>66</v>
      </c>
      <c r="B4" s="1"/>
      <c r="C4" s="17" t="s">
        <v>67</v>
      </c>
      <c r="D4" s="1"/>
      <c r="E4" s="17" t="s">
        <v>68</v>
      </c>
      <c r="F4" s="1"/>
      <c r="G4" s="17" t="s">
        <v>69</v>
      </c>
    </row>
    <row r="5" spans="1:8" ht="23.4" x14ac:dyDescent="0.3">
      <c r="A5" s="18">
        <f>Analysis!B2</f>
        <v>30</v>
      </c>
      <c r="B5" s="5"/>
      <c r="C5" s="19">
        <f>Analysis!B3</f>
        <v>73.466666666666669</v>
      </c>
      <c r="D5" s="5"/>
      <c r="E5" s="20">
        <f>Analysis!B7</f>
        <v>0.93333333333333335</v>
      </c>
      <c r="F5" s="5"/>
      <c r="G5" s="19">
        <f>Analysis!B11</f>
        <v>80.033333333333331</v>
      </c>
    </row>
  </sheetData>
  <mergeCells count="1">
    <mergeCell ref="A1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285BF-E5C5-457A-AA63-D73B522803AA}">
  <dimension ref="A3:B6"/>
  <sheetViews>
    <sheetView workbookViewId="0">
      <selection activeCell="G5" sqref="G5"/>
    </sheetView>
  </sheetViews>
  <sheetFormatPr defaultRowHeight="14.4" x14ac:dyDescent="0.3"/>
  <cols>
    <col min="1" max="1" width="12.44140625" bestFit="1" customWidth="1"/>
    <col min="2" max="2" width="19" bestFit="1" customWidth="1"/>
  </cols>
  <sheetData>
    <row r="3" spans="1:2" x14ac:dyDescent="0.3">
      <c r="A3" s="13" t="s">
        <v>62</v>
      </c>
      <c r="B3" t="s">
        <v>64</v>
      </c>
    </row>
    <row r="4" spans="1:2" x14ac:dyDescent="0.3">
      <c r="A4" s="14" t="s">
        <v>11</v>
      </c>
      <c r="B4" s="12">
        <v>80.13333333333334</v>
      </c>
    </row>
    <row r="5" spans="1:2" x14ac:dyDescent="0.3">
      <c r="A5" s="14" t="s">
        <v>17</v>
      </c>
      <c r="B5" s="12">
        <v>66.8</v>
      </c>
    </row>
    <row r="6" spans="1:2" x14ac:dyDescent="0.3">
      <c r="A6" s="14" t="s">
        <v>63</v>
      </c>
      <c r="B6" s="12">
        <v>73.466666666666669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D7F2-AC14-4A3E-9B40-1DEDE5064163}">
  <dimension ref="A1:S37"/>
  <sheetViews>
    <sheetView zoomScale="80" zoomScaleNormal="80" workbookViewId="0">
      <selection sqref="A1:K31"/>
    </sheetView>
  </sheetViews>
  <sheetFormatPr defaultRowHeight="14.4" x14ac:dyDescent="0.3"/>
  <cols>
    <col min="1" max="1" width="13.44140625" customWidth="1"/>
    <col min="2" max="2" width="12.6640625" customWidth="1"/>
    <col min="3" max="3" width="10.5546875" customWidth="1"/>
    <col min="4" max="4" width="11.77734375" customWidth="1"/>
    <col min="5" max="5" width="11.44140625" customWidth="1"/>
    <col min="6" max="6" width="14.5546875" customWidth="1"/>
    <col min="7" max="7" width="15.44140625" customWidth="1"/>
    <col min="8" max="8" width="13" customWidth="1"/>
    <col min="9" max="9" width="11.88671875" customWidth="1"/>
    <col min="10" max="10" width="11.33203125" customWidth="1"/>
    <col min="11" max="11" width="17.77734375" customWidth="1"/>
    <col min="12" max="12" width="13.44140625" customWidth="1"/>
    <col min="13" max="13" width="12.77734375" customWidth="1"/>
    <col min="14" max="14" width="12.33203125" customWidth="1"/>
    <col min="15" max="15" width="17.5546875" customWidth="1"/>
    <col min="16" max="16" width="24.77734375" customWidth="1"/>
    <col min="17" max="17" width="17.109375" customWidth="1"/>
    <col min="18" max="18" width="19.77734375" customWidth="1"/>
    <col min="19" max="19" width="19.44140625" customWidth="1"/>
  </cols>
  <sheetData>
    <row r="1" spans="1:19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48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"/>
      <c r="M1" s="2"/>
      <c r="N1" s="2"/>
      <c r="O1" s="2" t="s">
        <v>55</v>
      </c>
      <c r="P1" s="2"/>
      <c r="Q1" s="2"/>
      <c r="R1" s="2"/>
      <c r="S1" s="2"/>
    </row>
    <row r="2" spans="1:19" x14ac:dyDescent="0.3">
      <c r="A2" s="4" t="s">
        <v>10</v>
      </c>
      <c r="B2" s="4" t="s">
        <v>11</v>
      </c>
      <c r="C2" s="4">
        <v>23</v>
      </c>
      <c r="D2" s="4" t="s">
        <v>12</v>
      </c>
      <c r="E2" s="4" t="s">
        <v>13</v>
      </c>
      <c r="F2" s="4">
        <v>92</v>
      </c>
      <c r="G2" s="4">
        <v>85</v>
      </c>
      <c r="H2" s="4">
        <v>78</v>
      </c>
      <c r="I2" s="4">
        <v>80</v>
      </c>
      <c r="J2" s="4" t="s">
        <v>14</v>
      </c>
      <c r="K2" s="4" t="s">
        <v>15</v>
      </c>
    </row>
    <row r="3" spans="1:19" x14ac:dyDescent="0.3">
      <c r="A3" s="4" t="s">
        <v>16</v>
      </c>
      <c r="B3" s="4" t="s">
        <v>17</v>
      </c>
      <c r="C3" s="4">
        <v>21</v>
      </c>
      <c r="D3" s="4" t="s">
        <v>12</v>
      </c>
      <c r="E3" s="4" t="s">
        <v>13</v>
      </c>
      <c r="F3" s="4">
        <v>75</v>
      </c>
      <c r="G3" s="4">
        <v>68</v>
      </c>
      <c r="H3" s="4">
        <v>65</v>
      </c>
      <c r="I3" s="4">
        <v>62</v>
      </c>
      <c r="J3" s="4" t="s">
        <v>14</v>
      </c>
      <c r="K3" s="4" t="s">
        <v>14</v>
      </c>
    </row>
    <row r="4" spans="1:19" x14ac:dyDescent="0.3">
      <c r="A4" s="4" t="s">
        <v>18</v>
      </c>
      <c r="B4" s="4" t="s">
        <v>11</v>
      </c>
      <c r="C4" s="4">
        <v>22</v>
      </c>
      <c r="D4" s="4" t="s">
        <v>12</v>
      </c>
      <c r="E4" s="4" t="s">
        <v>13</v>
      </c>
      <c r="F4" s="4">
        <v>88</v>
      </c>
      <c r="G4" s="4">
        <v>90</v>
      </c>
      <c r="H4" s="4">
        <v>84</v>
      </c>
      <c r="I4" s="4">
        <v>86</v>
      </c>
      <c r="J4" s="4" t="s">
        <v>14</v>
      </c>
      <c r="K4" s="4" t="s">
        <v>19</v>
      </c>
    </row>
    <row r="5" spans="1:19" x14ac:dyDescent="0.3">
      <c r="A5" s="4" t="s">
        <v>20</v>
      </c>
      <c r="B5" s="4" t="s">
        <v>17</v>
      </c>
      <c r="C5" s="4">
        <v>22</v>
      </c>
      <c r="D5" s="4" t="s">
        <v>12</v>
      </c>
      <c r="E5" s="4" t="s">
        <v>13</v>
      </c>
      <c r="F5" s="4">
        <v>65</v>
      </c>
      <c r="G5" s="4">
        <v>72</v>
      </c>
      <c r="H5" s="4">
        <v>70</v>
      </c>
      <c r="I5" s="4">
        <v>68</v>
      </c>
      <c r="J5" s="4" t="s">
        <v>14</v>
      </c>
      <c r="K5" s="4" t="s">
        <v>21</v>
      </c>
    </row>
    <row r="6" spans="1:19" x14ac:dyDescent="0.3">
      <c r="A6" s="4" t="s">
        <v>22</v>
      </c>
      <c r="B6" s="4" t="s">
        <v>11</v>
      </c>
      <c r="C6" s="4">
        <v>21</v>
      </c>
      <c r="D6" s="4" t="s">
        <v>12</v>
      </c>
      <c r="E6" s="4" t="s">
        <v>13</v>
      </c>
      <c r="F6" s="4">
        <v>95</v>
      </c>
      <c r="G6" s="4">
        <v>14</v>
      </c>
      <c r="H6" s="4">
        <v>15</v>
      </c>
      <c r="I6" s="4">
        <v>15</v>
      </c>
      <c r="J6" s="4" t="s">
        <v>59</v>
      </c>
      <c r="K6" s="4" t="s">
        <v>60</v>
      </c>
    </row>
    <row r="7" spans="1:19" x14ac:dyDescent="0.3">
      <c r="A7" s="4" t="s">
        <v>23</v>
      </c>
      <c r="B7" s="4" t="s">
        <v>17</v>
      </c>
      <c r="C7" s="4">
        <v>23</v>
      </c>
      <c r="D7" s="4" t="s">
        <v>12</v>
      </c>
      <c r="E7" s="4" t="s">
        <v>13</v>
      </c>
      <c r="F7" s="4">
        <v>80</v>
      </c>
      <c r="G7" s="4">
        <v>76</v>
      </c>
      <c r="H7" s="4">
        <v>73</v>
      </c>
      <c r="I7" s="4">
        <v>75</v>
      </c>
      <c r="J7" s="4" t="s">
        <v>14</v>
      </c>
      <c r="K7" s="4" t="s">
        <v>15</v>
      </c>
    </row>
    <row r="8" spans="1:19" x14ac:dyDescent="0.3">
      <c r="A8" s="4" t="s">
        <v>24</v>
      </c>
      <c r="B8" s="4" t="s">
        <v>11</v>
      </c>
      <c r="C8" s="4">
        <v>22</v>
      </c>
      <c r="D8" s="4" t="s">
        <v>12</v>
      </c>
      <c r="E8" s="4" t="s">
        <v>13</v>
      </c>
      <c r="F8" s="4">
        <v>70</v>
      </c>
      <c r="G8" s="4">
        <v>65</v>
      </c>
      <c r="H8" s="4">
        <v>69</v>
      </c>
      <c r="I8" s="4">
        <v>67</v>
      </c>
      <c r="J8" s="4" t="s">
        <v>14</v>
      </c>
      <c r="K8" s="4" t="s">
        <v>21</v>
      </c>
    </row>
    <row r="9" spans="1:19" x14ac:dyDescent="0.3">
      <c r="A9" s="4" t="s">
        <v>25</v>
      </c>
      <c r="B9" s="4" t="s">
        <v>17</v>
      </c>
      <c r="C9" s="4">
        <v>21</v>
      </c>
      <c r="D9" s="4" t="s">
        <v>12</v>
      </c>
      <c r="E9" s="4" t="s">
        <v>13</v>
      </c>
      <c r="F9" s="4">
        <v>85</v>
      </c>
      <c r="G9" s="4">
        <v>82</v>
      </c>
      <c r="H9" s="4">
        <v>80</v>
      </c>
      <c r="I9" s="4">
        <v>81</v>
      </c>
      <c r="J9" s="4" t="s">
        <v>14</v>
      </c>
      <c r="K9" s="4" t="s">
        <v>15</v>
      </c>
    </row>
    <row r="10" spans="1:19" x14ac:dyDescent="0.3">
      <c r="A10" s="4" t="s">
        <v>26</v>
      </c>
      <c r="B10" s="4" t="s">
        <v>11</v>
      </c>
      <c r="C10" s="4">
        <v>23</v>
      </c>
      <c r="D10" s="4" t="s">
        <v>12</v>
      </c>
      <c r="E10" s="4" t="s">
        <v>13</v>
      </c>
      <c r="F10" s="4">
        <v>91</v>
      </c>
      <c r="G10" s="4">
        <v>94</v>
      </c>
      <c r="H10" s="4">
        <v>89</v>
      </c>
      <c r="I10" s="4">
        <v>91</v>
      </c>
      <c r="J10" s="4" t="s">
        <v>14</v>
      </c>
      <c r="K10" s="4" t="s">
        <v>19</v>
      </c>
    </row>
    <row r="11" spans="1:19" x14ac:dyDescent="0.3">
      <c r="A11" s="4" t="s">
        <v>27</v>
      </c>
      <c r="B11" s="4" t="s">
        <v>17</v>
      </c>
      <c r="C11" s="4">
        <v>23</v>
      </c>
      <c r="D11" s="4" t="s">
        <v>12</v>
      </c>
      <c r="E11" s="4" t="s">
        <v>13</v>
      </c>
      <c r="F11" s="4">
        <v>60</v>
      </c>
      <c r="G11" s="4">
        <v>58</v>
      </c>
      <c r="H11" s="4">
        <v>62</v>
      </c>
      <c r="I11" s="4">
        <v>59</v>
      </c>
      <c r="J11" s="4" t="s">
        <v>14</v>
      </c>
      <c r="K11" s="4" t="s">
        <v>14</v>
      </c>
    </row>
    <row r="12" spans="1:19" x14ac:dyDescent="0.3">
      <c r="A12" s="4" t="s">
        <v>28</v>
      </c>
      <c r="B12" s="4" t="s">
        <v>11</v>
      </c>
      <c r="C12" s="4">
        <v>21</v>
      </c>
      <c r="D12" s="4" t="s">
        <v>12</v>
      </c>
      <c r="E12" s="4" t="s">
        <v>13</v>
      </c>
      <c r="F12" s="4">
        <v>78</v>
      </c>
      <c r="G12" s="4">
        <v>80</v>
      </c>
      <c r="H12" s="4">
        <v>76</v>
      </c>
      <c r="I12" s="4">
        <v>79</v>
      </c>
      <c r="J12" s="4" t="s">
        <v>14</v>
      </c>
      <c r="K12" s="4" t="s">
        <v>15</v>
      </c>
    </row>
    <row r="13" spans="1:19" x14ac:dyDescent="0.3">
      <c r="A13" s="4" t="s">
        <v>29</v>
      </c>
      <c r="B13" s="4" t="s">
        <v>17</v>
      </c>
      <c r="C13" s="4">
        <v>22</v>
      </c>
      <c r="D13" s="4" t="s">
        <v>12</v>
      </c>
      <c r="E13" s="4" t="s">
        <v>13</v>
      </c>
      <c r="F13" s="4">
        <v>72</v>
      </c>
      <c r="G13" s="4">
        <v>70</v>
      </c>
      <c r="H13" s="4">
        <v>68</v>
      </c>
      <c r="I13" s="4">
        <v>70</v>
      </c>
      <c r="J13" s="4" t="s">
        <v>14</v>
      </c>
      <c r="K13" s="4" t="s">
        <v>21</v>
      </c>
    </row>
    <row r="14" spans="1:19" x14ac:dyDescent="0.3">
      <c r="A14" s="4" t="s">
        <v>30</v>
      </c>
      <c r="B14" s="4" t="s">
        <v>11</v>
      </c>
      <c r="C14" s="4">
        <v>21</v>
      </c>
      <c r="D14" s="4" t="s">
        <v>12</v>
      </c>
      <c r="E14" s="4" t="s">
        <v>13</v>
      </c>
      <c r="F14" s="4">
        <v>89</v>
      </c>
      <c r="G14" s="4">
        <v>86</v>
      </c>
      <c r="H14" s="4">
        <v>90</v>
      </c>
      <c r="I14" s="4">
        <v>88</v>
      </c>
      <c r="J14" s="4" t="s">
        <v>14</v>
      </c>
      <c r="K14" s="4" t="s">
        <v>19</v>
      </c>
    </row>
    <row r="15" spans="1:19" x14ac:dyDescent="0.3">
      <c r="A15" s="4" t="s">
        <v>31</v>
      </c>
      <c r="B15" s="4" t="s">
        <v>17</v>
      </c>
      <c r="C15" s="4">
        <v>21</v>
      </c>
      <c r="D15" s="4" t="s">
        <v>12</v>
      </c>
      <c r="E15" s="4" t="s">
        <v>13</v>
      </c>
      <c r="F15" s="4">
        <v>83</v>
      </c>
      <c r="G15" s="4">
        <v>11</v>
      </c>
      <c r="H15" s="4">
        <v>22</v>
      </c>
      <c r="I15" s="4">
        <v>18</v>
      </c>
      <c r="J15" s="4" t="s">
        <v>59</v>
      </c>
      <c r="K15" s="4" t="s">
        <v>60</v>
      </c>
    </row>
    <row r="16" spans="1:19" x14ac:dyDescent="0.3">
      <c r="A16" s="4" t="s">
        <v>32</v>
      </c>
      <c r="B16" s="4" t="s">
        <v>11</v>
      </c>
      <c r="C16" s="4">
        <v>22</v>
      </c>
      <c r="D16" s="4" t="s">
        <v>12</v>
      </c>
      <c r="E16" s="4" t="s">
        <v>13</v>
      </c>
      <c r="F16" s="4">
        <v>97</v>
      </c>
      <c r="G16" s="4">
        <v>92</v>
      </c>
      <c r="H16" s="4">
        <v>94</v>
      </c>
      <c r="I16" s="4">
        <v>95</v>
      </c>
      <c r="J16" s="4" t="s">
        <v>14</v>
      </c>
      <c r="K16" s="4" t="s">
        <v>19</v>
      </c>
    </row>
    <row r="17" spans="1:11" x14ac:dyDescent="0.3">
      <c r="A17" s="4" t="s">
        <v>33</v>
      </c>
      <c r="B17" s="4" t="s">
        <v>17</v>
      </c>
      <c r="C17" s="4">
        <v>22</v>
      </c>
      <c r="D17" s="4" t="s">
        <v>12</v>
      </c>
      <c r="E17" s="4" t="s">
        <v>13</v>
      </c>
      <c r="F17" s="4">
        <v>68</v>
      </c>
      <c r="G17" s="4">
        <v>64</v>
      </c>
      <c r="H17" s="4">
        <v>66</v>
      </c>
      <c r="I17" s="4">
        <v>65</v>
      </c>
      <c r="J17" s="4" t="s">
        <v>14</v>
      </c>
      <c r="K17" s="4" t="s">
        <v>21</v>
      </c>
    </row>
    <row r="18" spans="1:11" x14ac:dyDescent="0.3">
      <c r="A18" s="4" t="s">
        <v>34</v>
      </c>
      <c r="B18" s="4" t="s">
        <v>11</v>
      </c>
      <c r="C18" s="4">
        <v>21</v>
      </c>
      <c r="D18" s="4" t="s">
        <v>12</v>
      </c>
      <c r="E18" s="4" t="s">
        <v>13</v>
      </c>
      <c r="F18" s="4">
        <v>84</v>
      </c>
      <c r="G18" s="4">
        <v>87</v>
      </c>
      <c r="H18" s="4">
        <v>82</v>
      </c>
      <c r="I18" s="4">
        <v>85</v>
      </c>
      <c r="J18" s="4" t="s">
        <v>14</v>
      </c>
      <c r="K18" s="4" t="s">
        <v>19</v>
      </c>
    </row>
    <row r="19" spans="1:11" x14ac:dyDescent="0.3">
      <c r="A19" s="4" t="s">
        <v>35</v>
      </c>
      <c r="B19" s="4" t="s">
        <v>17</v>
      </c>
      <c r="C19" s="4">
        <v>22</v>
      </c>
      <c r="D19" s="4" t="s">
        <v>12</v>
      </c>
      <c r="E19" s="4" t="s">
        <v>13</v>
      </c>
      <c r="F19" s="4">
        <v>76</v>
      </c>
      <c r="G19" s="4">
        <v>74</v>
      </c>
      <c r="H19" s="4">
        <v>71</v>
      </c>
      <c r="I19" s="4">
        <v>73</v>
      </c>
      <c r="J19" s="4" t="s">
        <v>14</v>
      </c>
      <c r="K19" s="4" t="s">
        <v>21</v>
      </c>
    </row>
    <row r="20" spans="1:11" x14ac:dyDescent="0.3">
      <c r="A20" s="4" t="s">
        <v>36</v>
      </c>
      <c r="B20" s="4" t="s">
        <v>11</v>
      </c>
      <c r="C20" s="4">
        <v>22</v>
      </c>
      <c r="D20" s="4" t="s">
        <v>12</v>
      </c>
      <c r="E20" s="4" t="s">
        <v>13</v>
      </c>
      <c r="F20" s="4">
        <v>93</v>
      </c>
      <c r="G20" s="4">
        <v>89</v>
      </c>
      <c r="H20" s="4">
        <v>92</v>
      </c>
      <c r="I20" s="4">
        <v>91</v>
      </c>
      <c r="J20" s="4" t="s">
        <v>14</v>
      </c>
      <c r="K20" s="4" t="s">
        <v>19</v>
      </c>
    </row>
    <row r="21" spans="1:11" x14ac:dyDescent="0.3">
      <c r="A21" s="4" t="s">
        <v>37</v>
      </c>
      <c r="B21" s="4" t="s">
        <v>17</v>
      </c>
      <c r="C21" s="4">
        <v>23</v>
      </c>
      <c r="D21" s="4" t="s">
        <v>12</v>
      </c>
      <c r="E21" s="4" t="s">
        <v>13</v>
      </c>
      <c r="F21" s="4">
        <v>55</v>
      </c>
      <c r="G21" s="4">
        <v>61</v>
      </c>
      <c r="H21" s="4">
        <v>58</v>
      </c>
      <c r="I21" s="4">
        <v>57</v>
      </c>
      <c r="J21" s="4" t="s">
        <v>14</v>
      </c>
      <c r="K21" s="4" t="s">
        <v>14</v>
      </c>
    </row>
    <row r="22" spans="1:11" x14ac:dyDescent="0.3">
      <c r="A22" s="4" t="s">
        <v>38</v>
      </c>
      <c r="B22" s="4" t="s">
        <v>11</v>
      </c>
      <c r="C22" s="4">
        <v>21</v>
      </c>
      <c r="D22" s="4" t="s">
        <v>12</v>
      </c>
      <c r="E22" s="4" t="s">
        <v>13</v>
      </c>
      <c r="F22" s="4">
        <v>81</v>
      </c>
      <c r="G22" s="4">
        <v>83</v>
      </c>
      <c r="H22" s="4">
        <v>79</v>
      </c>
      <c r="I22" s="4">
        <v>81</v>
      </c>
      <c r="J22" s="4" t="s">
        <v>14</v>
      </c>
      <c r="K22" s="4" t="s">
        <v>15</v>
      </c>
    </row>
    <row r="23" spans="1:11" x14ac:dyDescent="0.3">
      <c r="A23" s="4" t="s">
        <v>39</v>
      </c>
      <c r="B23" s="4" t="s">
        <v>17</v>
      </c>
      <c r="C23" s="4">
        <v>23</v>
      </c>
      <c r="D23" s="4" t="s">
        <v>12</v>
      </c>
      <c r="E23" s="4" t="s">
        <v>13</v>
      </c>
      <c r="F23" s="4">
        <v>87</v>
      </c>
      <c r="G23" s="4">
        <v>80</v>
      </c>
      <c r="H23" s="4">
        <v>85</v>
      </c>
      <c r="I23" s="4">
        <v>84</v>
      </c>
      <c r="J23" s="4" t="s">
        <v>14</v>
      </c>
      <c r="K23" s="4" t="s">
        <v>15</v>
      </c>
    </row>
    <row r="24" spans="1:11" x14ac:dyDescent="0.3">
      <c r="A24" s="4" t="s">
        <v>40</v>
      </c>
      <c r="B24" s="4" t="s">
        <v>11</v>
      </c>
      <c r="C24" s="4">
        <v>22</v>
      </c>
      <c r="D24" s="4" t="s">
        <v>12</v>
      </c>
      <c r="E24" s="4" t="s">
        <v>13</v>
      </c>
      <c r="F24" s="4">
        <v>74</v>
      </c>
      <c r="G24" s="4">
        <v>77</v>
      </c>
      <c r="H24" s="4">
        <v>72</v>
      </c>
      <c r="I24" s="4">
        <v>75</v>
      </c>
      <c r="J24" s="4" t="s">
        <v>14</v>
      </c>
      <c r="K24" s="4" t="s">
        <v>15</v>
      </c>
    </row>
    <row r="25" spans="1:11" x14ac:dyDescent="0.3">
      <c r="A25" s="4" t="s">
        <v>41</v>
      </c>
      <c r="B25" s="4" t="s">
        <v>17</v>
      </c>
      <c r="C25" s="4">
        <v>21</v>
      </c>
      <c r="D25" s="4" t="s">
        <v>12</v>
      </c>
      <c r="E25" s="4" t="s">
        <v>13</v>
      </c>
      <c r="F25" s="4">
        <v>69</v>
      </c>
      <c r="G25" s="4">
        <v>71</v>
      </c>
      <c r="H25" s="4">
        <v>67</v>
      </c>
      <c r="I25" s="4">
        <v>69</v>
      </c>
      <c r="J25" s="4" t="s">
        <v>14</v>
      </c>
      <c r="K25" s="4" t="s">
        <v>21</v>
      </c>
    </row>
    <row r="26" spans="1:11" x14ac:dyDescent="0.3">
      <c r="A26" s="4" t="s">
        <v>42</v>
      </c>
      <c r="B26" s="4" t="s">
        <v>11</v>
      </c>
      <c r="C26" s="4">
        <v>23</v>
      </c>
      <c r="D26" s="4" t="s">
        <v>12</v>
      </c>
      <c r="E26" s="4" t="s">
        <v>13</v>
      </c>
      <c r="F26" s="4">
        <v>90</v>
      </c>
      <c r="G26" s="4">
        <v>93</v>
      </c>
      <c r="H26" s="4">
        <v>88</v>
      </c>
      <c r="I26" s="4">
        <v>91</v>
      </c>
      <c r="J26" s="4" t="s">
        <v>14</v>
      </c>
      <c r="K26" s="4" t="s">
        <v>19</v>
      </c>
    </row>
    <row r="27" spans="1:11" x14ac:dyDescent="0.3">
      <c r="A27" s="4" t="s">
        <v>43</v>
      </c>
      <c r="B27" s="4" t="s">
        <v>17</v>
      </c>
      <c r="C27" s="4">
        <v>22</v>
      </c>
      <c r="D27" s="4" t="s">
        <v>12</v>
      </c>
      <c r="E27" s="4" t="s">
        <v>13</v>
      </c>
      <c r="F27" s="4">
        <v>79</v>
      </c>
      <c r="G27" s="4">
        <v>75</v>
      </c>
      <c r="H27" s="4">
        <v>74</v>
      </c>
      <c r="I27" s="4">
        <v>76</v>
      </c>
      <c r="J27" s="4" t="s">
        <v>14</v>
      </c>
      <c r="K27" s="4" t="s">
        <v>15</v>
      </c>
    </row>
    <row r="28" spans="1:11" x14ac:dyDescent="0.3">
      <c r="A28" s="4" t="s">
        <v>44</v>
      </c>
      <c r="B28" s="4" t="s">
        <v>11</v>
      </c>
      <c r="C28" s="4">
        <v>21</v>
      </c>
      <c r="D28" s="4" t="s">
        <v>12</v>
      </c>
      <c r="E28" s="4" t="s">
        <v>13</v>
      </c>
      <c r="F28" s="4">
        <v>86</v>
      </c>
      <c r="G28" s="4">
        <v>91</v>
      </c>
      <c r="H28" s="4">
        <v>83</v>
      </c>
      <c r="I28" s="4">
        <v>87</v>
      </c>
      <c r="J28" s="4" t="s">
        <v>14</v>
      </c>
      <c r="K28" s="4" t="s">
        <v>19</v>
      </c>
    </row>
    <row r="29" spans="1:11" x14ac:dyDescent="0.3">
      <c r="A29" s="4" t="s">
        <v>45</v>
      </c>
      <c r="B29" s="4" t="s">
        <v>17</v>
      </c>
      <c r="C29" s="4">
        <v>23</v>
      </c>
      <c r="D29" s="4" t="s">
        <v>12</v>
      </c>
      <c r="E29" s="4" t="s">
        <v>13</v>
      </c>
      <c r="F29" s="4">
        <v>63</v>
      </c>
      <c r="G29" s="4">
        <v>66</v>
      </c>
      <c r="H29" s="4">
        <v>60</v>
      </c>
      <c r="I29" s="4">
        <v>63</v>
      </c>
      <c r="J29" s="4" t="s">
        <v>14</v>
      </c>
      <c r="K29" s="4" t="s">
        <v>14</v>
      </c>
    </row>
    <row r="30" spans="1:11" x14ac:dyDescent="0.3">
      <c r="A30" s="4" t="s">
        <v>46</v>
      </c>
      <c r="B30" s="4" t="s">
        <v>11</v>
      </c>
      <c r="C30" s="4">
        <v>22</v>
      </c>
      <c r="D30" s="4" t="s">
        <v>12</v>
      </c>
      <c r="E30" s="4" t="s">
        <v>13</v>
      </c>
      <c r="F30" s="4">
        <v>94</v>
      </c>
      <c r="G30" s="4">
        <v>88</v>
      </c>
      <c r="H30" s="4">
        <v>90</v>
      </c>
      <c r="I30" s="4">
        <v>91</v>
      </c>
      <c r="J30" s="4" t="s">
        <v>14</v>
      </c>
      <c r="K30" s="4" t="s">
        <v>19</v>
      </c>
    </row>
    <row r="31" spans="1:11" x14ac:dyDescent="0.3">
      <c r="A31" s="4" t="s">
        <v>47</v>
      </c>
      <c r="B31" s="4" t="s">
        <v>17</v>
      </c>
      <c r="C31" s="4">
        <v>21</v>
      </c>
      <c r="D31" s="4" t="s">
        <v>12</v>
      </c>
      <c r="E31" s="4" t="s">
        <v>13</v>
      </c>
      <c r="F31" s="4">
        <v>82</v>
      </c>
      <c r="G31" s="4">
        <v>84</v>
      </c>
      <c r="H31" s="4">
        <v>78</v>
      </c>
      <c r="I31" s="4">
        <v>82</v>
      </c>
      <c r="J31" s="4" t="s">
        <v>14</v>
      </c>
      <c r="K31" s="4" t="s">
        <v>15</v>
      </c>
    </row>
    <row r="32" spans="1:11" ht="15" customHeight="1" x14ac:dyDescent="0.3"/>
    <row r="36" ht="15.6" customHeight="1" x14ac:dyDescent="0.3"/>
    <row r="37" ht="15" customHeight="1" x14ac:dyDescent="0.3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A7AE-88E8-4031-BB87-913734C038CB}">
  <dimension ref="A1:F11"/>
  <sheetViews>
    <sheetView workbookViewId="0">
      <selection activeCell="E13" sqref="E13"/>
    </sheetView>
  </sheetViews>
  <sheetFormatPr defaultRowHeight="14.4" x14ac:dyDescent="0.3"/>
  <cols>
    <col min="1" max="1" width="29.77734375" customWidth="1"/>
    <col min="2" max="2" width="15.21875" customWidth="1"/>
    <col min="5" max="5" width="12.77734375" customWidth="1"/>
    <col min="6" max="6" width="13.88671875" customWidth="1"/>
  </cols>
  <sheetData>
    <row r="1" spans="1:6" x14ac:dyDescent="0.3">
      <c r="A1" s="8" t="s">
        <v>58</v>
      </c>
      <c r="B1" s="7" t="s">
        <v>8</v>
      </c>
    </row>
    <row r="2" spans="1:6" x14ac:dyDescent="0.3">
      <c r="A2" s="9" t="s">
        <v>56</v>
      </c>
      <c r="B2" s="6">
        <f>COUNTA(Student_Data!A2:A31)</f>
        <v>30</v>
      </c>
    </row>
    <row r="3" spans="1:6" x14ac:dyDescent="0.3">
      <c r="A3" s="9" t="s">
        <v>49</v>
      </c>
      <c r="B3" s="15">
        <f>AVERAGE(Student_Data!I2:I31)</f>
        <v>73.466666666666669</v>
      </c>
    </row>
    <row r="4" spans="1:6" x14ac:dyDescent="0.3">
      <c r="A4" s="10" t="s">
        <v>50</v>
      </c>
      <c r="B4" s="6">
        <f>MAX(Student_Data!I2:I31)</f>
        <v>95</v>
      </c>
    </row>
    <row r="5" spans="1:6" x14ac:dyDescent="0.3">
      <c r="A5" s="9" t="s">
        <v>57</v>
      </c>
      <c r="B5" s="6">
        <f>MIN(Student_Data!I2:I31)</f>
        <v>15</v>
      </c>
    </row>
    <row r="6" spans="1:6" x14ac:dyDescent="0.3">
      <c r="A6" s="9" t="s">
        <v>51</v>
      </c>
      <c r="B6" s="6">
        <f>COUNTIF(Student_Data!J2:J31,"Pass")</f>
        <v>28</v>
      </c>
    </row>
    <row r="7" spans="1:6" x14ac:dyDescent="0.3">
      <c r="A7" s="9" t="s">
        <v>52</v>
      </c>
      <c r="B7" s="11">
        <f>COUNTIF(Student_Data!J2:J31,"Pass")/COUNTA(Student_Data!A2:A31)</f>
        <v>0.93333333333333335</v>
      </c>
    </row>
    <row r="8" spans="1:6" x14ac:dyDescent="0.3">
      <c r="A8" s="9" t="s">
        <v>61</v>
      </c>
      <c r="B8" s="11">
        <f>COUNTIF(Student_Data!J2:J31,"Fail")/COUNTA(Student_Data!A2:A31)</f>
        <v>6.6666666666666666E-2</v>
      </c>
      <c r="E8" s="8" t="s">
        <v>8</v>
      </c>
      <c r="F8" s="8" t="s">
        <v>56</v>
      </c>
    </row>
    <row r="9" spans="1:6" x14ac:dyDescent="0.3">
      <c r="A9" s="9" t="s">
        <v>53</v>
      </c>
      <c r="B9" s="15">
        <f>AVERAGEIF(Student_Data!B2:B31,"Female",Student_Data!I2:I31)</f>
        <v>80.13333333333334</v>
      </c>
      <c r="E9" s="6" t="s">
        <v>14</v>
      </c>
      <c r="F9" s="6">
        <f>COUNTIF(Student_Data!J2:J31,"Pass")</f>
        <v>28</v>
      </c>
    </row>
    <row r="10" spans="1:6" x14ac:dyDescent="0.3">
      <c r="A10" s="9" t="s">
        <v>54</v>
      </c>
      <c r="B10" s="6">
        <f>AVERAGEIF(Student_Data!B2:B31,"Male",Student_Data!I2:I31)</f>
        <v>66.8</v>
      </c>
      <c r="E10" s="6" t="s">
        <v>59</v>
      </c>
      <c r="F10" s="6">
        <f>COUNTIF(Student_Data!J2:J31,"Fail")</f>
        <v>2</v>
      </c>
    </row>
    <row r="11" spans="1:6" x14ac:dyDescent="0.3">
      <c r="A11" s="16" t="s">
        <v>69</v>
      </c>
      <c r="B11" s="15">
        <f>AVERAGE(Student_Data!F2:F31)</f>
        <v>80.033333333333331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 Table</vt:lpstr>
      <vt:lpstr>Student_Data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Chamodi Sanjula</dc:creator>
  <cp:lastModifiedBy>Chamodi Sanjula</cp:lastModifiedBy>
  <dcterms:created xsi:type="dcterms:W3CDTF">2026-10-10T04:14:39Z</dcterms:created>
  <dcterms:modified xsi:type="dcterms:W3CDTF">2026-10-10T12:21:06Z</dcterms:modified>
</cp:coreProperties>
</file>